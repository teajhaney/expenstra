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ajhaney/Desktop/"/>
    </mc:Choice>
  </mc:AlternateContent>
  <xr:revisionPtr revIDLastSave="0" documentId="8_{E2DE4E49-8AE4-4A48-A2B8-332A6F3F6FAA}" xr6:coauthVersionLast="47" xr6:coauthVersionMax="47" xr10:uidLastSave="{00000000-0000-0000-0000-000000000000}"/>
  <bookViews>
    <workbookView xWindow="6940" yWindow="4780" windowWidth="27640" windowHeight="16940" xr2:uid="{3D69C48B-58B7-5D49-9005-4B1F3DA4C8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6" i="1" l="1"/>
  <c r="AS46" i="1"/>
  <c r="AV46" i="1" s="1"/>
  <c r="AK46" i="1"/>
  <c r="AJ46" i="1"/>
  <c r="AL46" i="1" s="1"/>
  <c r="AN4" i="1" s="1"/>
  <c r="AP4" i="1" s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O4" i="1" s="1"/>
  <c r="B46" i="1"/>
</calcChain>
</file>

<file path=xl/sharedStrings.xml><?xml version="1.0" encoding="utf-8"?>
<sst xmlns="http://schemas.openxmlformats.org/spreadsheetml/2006/main" count="69" uniqueCount="64">
  <si>
    <t>JANUARY</t>
  </si>
  <si>
    <t>SUMMARY OF AMOUNT IN HAND</t>
  </si>
  <si>
    <t>CALCULATIONS  (₦)</t>
  </si>
  <si>
    <t>DOM ACCOUNT</t>
  </si>
  <si>
    <t>Expenses</t>
  </si>
  <si>
    <t>DATE</t>
  </si>
  <si>
    <t xml:space="preserve">BANK NAME </t>
  </si>
  <si>
    <t>AMOUNT IN BANK</t>
  </si>
  <si>
    <t>CASH</t>
  </si>
  <si>
    <t>TOTAL</t>
  </si>
  <si>
    <t>TOTAL MONEY AT HAND THIS MONTH</t>
  </si>
  <si>
    <t>TOTAL SPENT</t>
  </si>
  <si>
    <t>TOTAL LEFT AFTER EXPENSES</t>
  </si>
  <si>
    <t>IN</t>
  </si>
  <si>
    <t>OUT</t>
  </si>
  <si>
    <t>LEFT</t>
  </si>
  <si>
    <t>Fan repair-capacitor</t>
  </si>
  <si>
    <t>ALAT</t>
  </si>
  <si>
    <t xml:space="preserve">MTN airtime </t>
  </si>
  <si>
    <t>OPAY</t>
  </si>
  <si>
    <t xml:space="preserve">plantain </t>
  </si>
  <si>
    <t>Food</t>
  </si>
  <si>
    <t>ope-gtb</t>
  </si>
  <si>
    <t>Transport</t>
  </si>
  <si>
    <t>House rent</t>
  </si>
  <si>
    <t xml:space="preserve"> </t>
  </si>
  <si>
    <t>street party</t>
  </si>
  <si>
    <t>Fans and bulb</t>
  </si>
  <si>
    <t>Mob and Brush</t>
  </si>
  <si>
    <t xml:space="preserve">Elect man Kola </t>
  </si>
  <si>
    <t>Mum</t>
  </si>
  <si>
    <t>Bank charges</t>
  </si>
  <si>
    <t>Wire</t>
  </si>
  <si>
    <t>POS charges</t>
  </si>
  <si>
    <t>Paint</t>
  </si>
  <si>
    <t>Painter</t>
  </si>
  <si>
    <t>Wasilat</t>
  </si>
  <si>
    <t>Blender</t>
  </si>
  <si>
    <t>Drum</t>
  </si>
  <si>
    <t>Toheeb</t>
  </si>
  <si>
    <t>Electric cooker</t>
  </si>
  <si>
    <t>chair</t>
  </si>
  <si>
    <t>Table</t>
  </si>
  <si>
    <t>Moula foam</t>
  </si>
  <si>
    <t>Pillows</t>
  </si>
  <si>
    <t xml:space="preserve">Delivery </t>
  </si>
  <si>
    <t xml:space="preserve">Curtains and accessories </t>
  </si>
  <si>
    <t xml:space="preserve">Cylinder +gas </t>
  </si>
  <si>
    <t>Touch light</t>
  </si>
  <si>
    <t xml:space="preserve">Bank charges </t>
  </si>
  <si>
    <t>Bucket</t>
  </si>
  <si>
    <t>Beans etc</t>
  </si>
  <si>
    <t xml:space="preserve">Extension + padlock </t>
  </si>
  <si>
    <t>Hand fan</t>
  </si>
  <si>
    <t xml:space="preserve">Oils and paste </t>
  </si>
  <si>
    <t xml:space="preserve">Mum-pot </t>
  </si>
  <si>
    <t>Mr adunni passport</t>
  </si>
  <si>
    <t>Book</t>
  </si>
  <si>
    <t xml:space="preserve">Medications </t>
  </si>
  <si>
    <t>Unknown /Lost</t>
  </si>
  <si>
    <t xml:space="preserve">Miscellaneous </t>
  </si>
  <si>
    <t>TOTAL (₦)</t>
  </si>
  <si>
    <t>TOTAL  (₦)</t>
  </si>
  <si>
    <t>TOTAL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</si>
</sst>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24"/>
      <color rgb="FF0033CC"/>
      <name val="Times New Roman"/>
      <family val="1"/>
    </font>
    <font>
      <b/>
      <sz val="24"/>
      <color theme="1"/>
      <name val="Times New Roman"/>
      <family val="1"/>
    </font>
    <font>
      <b/>
      <sz val="20"/>
      <color rgb="FF0033CC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FF0000"/>
      <name val="Times New Roman"/>
      <family val="1"/>
    </font>
    <font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2" borderId="5" xfId="0" applyFont="1" applyFill="1" applyBorder="1"/>
    <xf numFmtId="0" fontId="5" fillId="2" borderId="5" xfId="0" applyFont="1" applyFill="1" applyBorder="1"/>
    <xf numFmtId="0" fontId="6" fillId="2" borderId="5" xfId="0" applyFont="1" applyFill="1" applyBorder="1" applyAlignment="1">
      <alignment horizontal="left"/>
    </xf>
    <xf numFmtId="0" fontId="6" fillId="2" borderId="5" xfId="0" applyFont="1" applyFill="1" applyBorder="1"/>
    <xf numFmtId="0" fontId="0" fillId="2" borderId="5" xfId="0" applyFill="1" applyBorder="1"/>
    <xf numFmtId="0" fontId="7" fillId="2" borderId="5" xfId="0" applyFont="1" applyFill="1" applyBorder="1"/>
    <xf numFmtId="0" fontId="7" fillId="2" borderId="5" xfId="0" applyFont="1" applyFill="1" applyBorder="1" applyAlignment="1">
      <alignment horizontal="left"/>
    </xf>
    <xf numFmtId="0" fontId="4" fillId="3" borderId="5" xfId="0" applyFont="1" applyFill="1" applyBorder="1"/>
    <xf numFmtId="0" fontId="5" fillId="3" borderId="5" xfId="0" applyFont="1" applyFill="1" applyBorder="1"/>
    <xf numFmtId="14" fontId="0" fillId="3" borderId="5" xfId="0" applyNumberForma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5" xfId="0" applyFill="1" applyBorder="1"/>
    <xf numFmtId="0" fontId="8" fillId="4" borderId="5" xfId="0" applyFont="1" applyFill="1" applyBorder="1"/>
    <xf numFmtId="14" fontId="0" fillId="3" borderId="5" xfId="0" applyNumberFormat="1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7" fillId="3" borderId="5" xfId="0" applyFont="1" applyFill="1" applyBorder="1" applyAlignment="1">
      <alignment horizontal="left"/>
    </xf>
    <xf numFmtId="0" fontId="9" fillId="4" borderId="5" xfId="0" applyFont="1" applyFill="1" applyBorder="1"/>
    <xf numFmtId="0" fontId="0" fillId="0" borderId="12" xfId="0" applyBorder="1" applyAlignment="1">
      <alignment horizontal="center"/>
    </xf>
    <xf numFmtId="0" fontId="8" fillId="4" borderId="5" xfId="0" applyFont="1" applyFill="1" applyBorder="1" applyAlignment="1">
      <alignment horizontal="left"/>
    </xf>
    <xf numFmtId="0" fontId="10" fillId="4" borderId="5" xfId="0" applyFont="1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65DC-0A59-8E43-8DEE-0A05DD3DC60A}">
  <dimension ref="A1:AV46"/>
  <sheetViews>
    <sheetView tabSelected="1" topLeftCell="A33" workbookViewId="0">
      <selection sqref="A1:XFD46"/>
    </sheetView>
  </sheetViews>
  <sheetFormatPr baseColWidth="10" defaultRowHeight="16" x14ac:dyDescent="0.2"/>
  <sheetData>
    <row r="1" spans="1:48" ht="15" x14ac:dyDescent="0.2"/>
    <row r="2" spans="1:48" ht="39" customHeigh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4"/>
      <c r="AH2" s="5" t="s">
        <v>1</v>
      </c>
      <c r="AI2" s="5"/>
      <c r="AJ2" s="5"/>
      <c r="AK2" s="5"/>
      <c r="AL2" s="5"/>
      <c r="AM2" s="4"/>
      <c r="AN2" s="5" t="s">
        <v>2</v>
      </c>
      <c r="AO2" s="5"/>
      <c r="AP2" s="5"/>
      <c r="AQ2" s="6"/>
      <c r="AR2" s="5" t="s">
        <v>3</v>
      </c>
      <c r="AS2" s="7"/>
      <c r="AT2" s="7"/>
      <c r="AU2" s="7"/>
      <c r="AV2" s="7"/>
    </row>
    <row r="3" spans="1:48" ht="15" x14ac:dyDescent="0.2">
      <c r="A3" s="8" t="s">
        <v>4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9">
        <v>31</v>
      </c>
      <c r="AG3" s="6"/>
      <c r="AH3" s="10" t="s">
        <v>5</v>
      </c>
      <c r="AI3" s="10" t="s">
        <v>6</v>
      </c>
      <c r="AJ3" s="11" t="s">
        <v>7</v>
      </c>
      <c r="AK3" s="11" t="s">
        <v>8</v>
      </c>
      <c r="AL3" s="12" t="s">
        <v>9</v>
      </c>
      <c r="AM3" s="6"/>
      <c r="AN3" s="13" t="s">
        <v>10</v>
      </c>
      <c r="AO3" s="13" t="s">
        <v>11</v>
      </c>
      <c r="AP3" s="13" t="s">
        <v>12</v>
      </c>
      <c r="AQ3" s="6"/>
      <c r="AR3" s="14" t="s">
        <v>5</v>
      </c>
      <c r="AS3" s="13" t="s">
        <v>13</v>
      </c>
      <c r="AT3" s="13" t="s">
        <v>5</v>
      </c>
      <c r="AU3" s="13" t="s">
        <v>14</v>
      </c>
      <c r="AV3" s="13" t="s">
        <v>15</v>
      </c>
    </row>
    <row r="4" spans="1:48" ht="21" x14ac:dyDescent="0.25">
      <c r="A4" s="15" t="s">
        <v>16</v>
      </c>
      <c r="B4" s="16"/>
      <c r="C4" s="16">
        <v>1800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6"/>
      <c r="AH4" s="17">
        <v>45323</v>
      </c>
      <c r="AI4" s="18" t="s">
        <v>17</v>
      </c>
      <c r="AJ4" s="19">
        <v>30000</v>
      </c>
      <c r="AK4" s="19">
        <v>3000</v>
      </c>
      <c r="AL4" s="7"/>
      <c r="AM4" s="6"/>
      <c r="AN4" s="20">
        <f>AL46</f>
        <v>1259000</v>
      </c>
      <c r="AO4" s="20">
        <f>SUM(B46:AF46)</f>
        <v>1080620</v>
      </c>
      <c r="AP4" s="20">
        <f>AN4-AO4</f>
        <v>178380</v>
      </c>
      <c r="AQ4" s="6"/>
      <c r="AR4" s="17">
        <v>45323</v>
      </c>
      <c r="AS4" s="19">
        <v>100</v>
      </c>
      <c r="AT4" s="21">
        <v>45566</v>
      </c>
      <c r="AU4" s="19">
        <v>1000</v>
      </c>
      <c r="AV4" s="7"/>
    </row>
    <row r="5" spans="1:48" ht="15" x14ac:dyDescent="0.2">
      <c r="A5" s="15" t="s">
        <v>18</v>
      </c>
      <c r="B5" s="16"/>
      <c r="C5" s="16"/>
      <c r="D5" s="16">
        <v>24000</v>
      </c>
      <c r="E5" s="16"/>
      <c r="F5" s="16"/>
      <c r="G5" s="16"/>
      <c r="H5" s="16"/>
      <c r="I5" s="16"/>
      <c r="J5" s="16"/>
      <c r="K5" s="16">
        <v>1000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>
        <v>2000</v>
      </c>
      <c r="X5" s="16"/>
      <c r="Y5" s="16"/>
      <c r="Z5" s="16"/>
      <c r="AA5" s="16"/>
      <c r="AB5" s="16"/>
      <c r="AC5" s="16">
        <v>16000</v>
      </c>
      <c r="AD5" s="16"/>
      <c r="AE5" s="16"/>
      <c r="AF5" s="16"/>
      <c r="AG5" s="6"/>
      <c r="AH5" s="17">
        <v>45292</v>
      </c>
      <c r="AI5" s="18" t="s">
        <v>19</v>
      </c>
      <c r="AJ5" s="19">
        <v>6000</v>
      </c>
      <c r="AK5" s="19"/>
      <c r="AL5" s="7"/>
      <c r="AM5" s="6"/>
      <c r="AN5" s="22"/>
      <c r="AO5" s="23"/>
      <c r="AP5" s="24"/>
      <c r="AQ5" s="6"/>
      <c r="AR5" s="17">
        <v>45383</v>
      </c>
      <c r="AS5" s="19">
        <v>1900</v>
      </c>
      <c r="AT5" s="19"/>
      <c r="AU5" s="19"/>
      <c r="AV5" s="7"/>
    </row>
    <row r="6" spans="1:48" ht="15" x14ac:dyDescent="0.2">
      <c r="A6" s="15" t="s">
        <v>20</v>
      </c>
      <c r="B6" s="16"/>
      <c r="C6" s="16"/>
      <c r="D6" s="16"/>
      <c r="E6" s="16">
        <v>500</v>
      </c>
      <c r="F6" s="16"/>
      <c r="G6" s="16"/>
      <c r="H6" s="16"/>
      <c r="I6" s="16">
        <v>500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6"/>
      <c r="AH6" s="17">
        <v>45566</v>
      </c>
      <c r="AI6" s="18" t="s">
        <v>17</v>
      </c>
      <c r="AJ6" s="19">
        <v>1220000</v>
      </c>
      <c r="AK6" s="19"/>
      <c r="AL6" s="7"/>
      <c r="AM6" s="6"/>
      <c r="AN6" s="25"/>
      <c r="AO6" s="26"/>
      <c r="AP6" s="27"/>
      <c r="AQ6" s="6"/>
      <c r="AR6" s="17"/>
      <c r="AS6" s="19"/>
      <c r="AT6" s="19"/>
      <c r="AU6" s="19"/>
      <c r="AV6" s="7"/>
    </row>
    <row r="7" spans="1:48" ht="15" x14ac:dyDescent="0.2">
      <c r="A7" s="15" t="s">
        <v>21</v>
      </c>
      <c r="B7" s="16"/>
      <c r="C7" s="16"/>
      <c r="D7" s="16"/>
      <c r="E7" s="16"/>
      <c r="F7" s="16"/>
      <c r="G7" s="16"/>
      <c r="H7" s="16"/>
      <c r="I7" s="16"/>
      <c r="J7" s="16">
        <v>1000</v>
      </c>
      <c r="K7" s="16">
        <v>500</v>
      </c>
      <c r="L7" s="16">
        <v>750</v>
      </c>
      <c r="M7" s="16"/>
      <c r="N7" s="16">
        <v>1300</v>
      </c>
      <c r="O7" s="16"/>
      <c r="P7" s="16">
        <v>600</v>
      </c>
      <c r="Q7" s="16">
        <v>50</v>
      </c>
      <c r="R7" s="16">
        <v>500</v>
      </c>
      <c r="S7" s="16">
        <v>100</v>
      </c>
      <c r="T7" s="16">
        <v>800</v>
      </c>
      <c r="U7" s="16">
        <v>2300</v>
      </c>
      <c r="V7" s="16">
        <v>8000</v>
      </c>
      <c r="W7" s="16">
        <v>200</v>
      </c>
      <c r="X7" s="16">
        <v>4000</v>
      </c>
      <c r="Y7" s="16">
        <v>200</v>
      </c>
      <c r="Z7" s="16"/>
      <c r="AA7" s="16">
        <v>4900</v>
      </c>
      <c r="AB7" s="16">
        <v>7010</v>
      </c>
      <c r="AC7" s="16">
        <v>300</v>
      </c>
      <c r="AD7" s="16"/>
      <c r="AE7" s="16"/>
      <c r="AF7" s="16">
        <v>550</v>
      </c>
      <c r="AG7" s="6"/>
      <c r="AH7" s="17">
        <v>45566</v>
      </c>
      <c r="AI7" s="18" t="s">
        <v>17</v>
      </c>
      <c r="AJ7" s="19">
        <v>-5000</v>
      </c>
      <c r="AK7" s="19">
        <v>5000</v>
      </c>
      <c r="AL7" s="7"/>
      <c r="AM7" s="6"/>
      <c r="AN7" s="25"/>
      <c r="AO7" s="26"/>
      <c r="AP7" s="27"/>
      <c r="AQ7" s="6"/>
      <c r="AR7" s="18"/>
      <c r="AS7" s="19"/>
      <c r="AT7" s="19"/>
      <c r="AU7" s="19"/>
      <c r="AV7" s="7"/>
    </row>
    <row r="8" spans="1:48" ht="15" x14ac:dyDescent="0.2">
      <c r="A8" s="15" t="s">
        <v>22</v>
      </c>
      <c r="B8" s="16"/>
      <c r="C8" s="16"/>
      <c r="D8" s="16"/>
      <c r="E8" s="16"/>
      <c r="F8" s="16"/>
      <c r="G8" s="16"/>
      <c r="H8" s="16"/>
      <c r="I8" s="16"/>
      <c r="J8" s="16"/>
      <c r="K8" s="16">
        <v>10000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6"/>
      <c r="AH8" s="17">
        <v>45597</v>
      </c>
      <c r="AI8" s="18" t="s">
        <v>17</v>
      </c>
      <c r="AJ8" s="19">
        <v>-6000</v>
      </c>
      <c r="AK8" s="19">
        <v>6000</v>
      </c>
      <c r="AL8" s="7"/>
      <c r="AM8" s="6"/>
      <c r="AN8" s="25"/>
      <c r="AO8" s="26"/>
      <c r="AP8" s="27"/>
      <c r="AQ8" s="6"/>
      <c r="AR8" s="18"/>
      <c r="AS8" s="19"/>
      <c r="AT8" s="19"/>
      <c r="AU8" s="19"/>
      <c r="AV8" s="7"/>
    </row>
    <row r="9" spans="1:48" ht="15" x14ac:dyDescent="0.2">
      <c r="A9" s="15" t="s">
        <v>23</v>
      </c>
      <c r="B9" s="16"/>
      <c r="C9" s="16"/>
      <c r="D9" s="16"/>
      <c r="E9" s="16"/>
      <c r="F9" s="16"/>
      <c r="G9" s="16"/>
      <c r="H9" s="16"/>
      <c r="I9" s="16"/>
      <c r="J9" s="16"/>
      <c r="K9" s="16">
        <v>1500</v>
      </c>
      <c r="L9" s="16">
        <v>1000</v>
      </c>
      <c r="M9" s="16"/>
      <c r="N9" s="16">
        <v>1300</v>
      </c>
      <c r="O9" s="16"/>
      <c r="P9" s="16">
        <v>2600</v>
      </c>
      <c r="Q9" s="16">
        <v>6100</v>
      </c>
      <c r="R9" s="16">
        <v>800</v>
      </c>
      <c r="S9" s="16">
        <v>2200</v>
      </c>
      <c r="T9" s="16">
        <v>900</v>
      </c>
      <c r="U9" s="16"/>
      <c r="V9" s="16">
        <v>1200</v>
      </c>
      <c r="W9" s="16">
        <v>3400</v>
      </c>
      <c r="X9" s="16"/>
      <c r="Y9" s="16">
        <v>1600</v>
      </c>
      <c r="Z9" s="16"/>
      <c r="AA9" s="16">
        <v>300</v>
      </c>
      <c r="AB9" s="16">
        <v>500</v>
      </c>
      <c r="AC9" s="16"/>
      <c r="AD9" s="16"/>
      <c r="AE9" s="16"/>
      <c r="AF9" s="16"/>
      <c r="AG9" s="6"/>
      <c r="AH9" s="18"/>
      <c r="AI9" s="18"/>
      <c r="AJ9" s="19"/>
      <c r="AK9" s="19"/>
      <c r="AL9" s="7"/>
      <c r="AM9" s="6"/>
      <c r="AN9" s="25"/>
      <c r="AO9" s="26"/>
      <c r="AP9" s="27"/>
      <c r="AQ9" s="6"/>
      <c r="AR9" s="18"/>
      <c r="AS9" s="19"/>
      <c r="AT9" s="19"/>
      <c r="AU9" s="19"/>
      <c r="AV9" s="7"/>
    </row>
    <row r="10" spans="1:48" ht="15" x14ac:dyDescent="0.2">
      <c r="A10" s="15" t="s">
        <v>24</v>
      </c>
      <c r="B10" s="16"/>
      <c r="C10" s="16"/>
      <c r="D10" s="16"/>
      <c r="E10" s="16"/>
      <c r="F10" s="16"/>
      <c r="G10" s="16"/>
      <c r="H10" s="16"/>
      <c r="I10" s="16"/>
      <c r="J10" s="16"/>
      <c r="K10" s="16">
        <v>375000</v>
      </c>
      <c r="L10" s="16"/>
      <c r="M10" s="16"/>
      <c r="N10" s="16"/>
      <c r="O10" s="16"/>
      <c r="P10" s="16"/>
      <c r="Q10" s="16" t="s">
        <v>25</v>
      </c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6"/>
      <c r="AH10" s="18"/>
      <c r="AI10" s="18"/>
      <c r="AJ10" s="19"/>
      <c r="AK10" s="19"/>
      <c r="AL10" s="7"/>
      <c r="AM10" s="6"/>
      <c r="AN10" s="25"/>
      <c r="AO10" s="26"/>
      <c r="AP10" s="27"/>
      <c r="AQ10" s="6"/>
      <c r="AR10" s="18"/>
      <c r="AS10" s="19"/>
      <c r="AT10" s="19"/>
      <c r="AU10" s="19"/>
      <c r="AV10" s="7"/>
    </row>
    <row r="11" spans="1:48" ht="15" x14ac:dyDescent="0.2">
      <c r="A11" s="15" t="s">
        <v>26</v>
      </c>
      <c r="B11" s="16"/>
      <c r="C11" s="16"/>
      <c r="D11" s="16"/>
      <c r="E11" s="16"/>
      <c r="F11" s="16"/>
      <c r="G11" s="16"/>
      <c r="H11" s="16"/>
      <c r="I11" s="16"/>
      <c r="J11" s="16"/>
      <c r="K11" s="16">
        <v>15000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6"/>
      <c r="AH11" s="18"/>
      <c r="AI11" s="18"/>
      <c r="AJ11" s="19"/>
      <c r="AK11" s="19"/>
      <c r="AL11" s="7"/>
      <c r="AM11" s="6"/>
      <c r="AN11" s="25"/>
      <c r="AO11" s="26"/>
      <c r="AP11" s="27"/>
      <c r="AQ11" s="6"/>
      <c r="AR11" s="18"/>
      <c r="AS11" s="19"/>
      <c r="AT11" s="19"/>
      <c r="AU11" s="19"/>
      <c r="AV11" s="7"/>
    </row>
    <row r="12" spans="1:48" ht="15" x14ac:dyDescent="0.2">
      <c r="A12" s="15" t="s">
        <v>27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>
        <v>36950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6"/>
      <c r="AH12" s="18"/>
      <c r="AI12" s="18"/>
      <c r="AJ12" s="19"/>
      <c r="AK12" s="19"/>
      <c r="AL12" s="7"/>
      <c r="AM12" s="6"/>
      <c r="AN12" s="25"/>
      <c r="AO12" s="26"/>
      <c r="AP12" s="27"/>
      <c r="AQ12" s="6"/>
      <c r="AR12" s="18"/>
      <c r="AS12" s="19"/>
      <c r="AT12" s="19"/>
      <c r="AU12" s="19"/>
      <c r="AV12" s="7"/>
    </row>
    <row r="13" spans="1:48" ht="15" x14ac:dyDescent="0.2">
      <c r="A13" s="15" t="s">
        <v>28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>
        <v>3000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6"/>
      <c r="AH13" s="18"/>
      <c r="AI13" s="18"/>
      <c r="AJ13" s="19"/>
      <c r="AK13" s="19"/>
      <c r="AL13" s="7"/>
      <c r="AM13" s="6"/>
      <c r="AN13" s="25"/>
      <c r="AO13" s="26"/>
      <c r="AP13" s="27"/>
      <c r="AQ13" s="6"/>
      <c r="AR13" s="18"/>
      <c r="AS13" s="19"/>
      <c r="AT13" s="19"/>
      <c r="AU13" s="19"/>
      <c r="AV13" s="7"/>
    </row>
    <row r="14" spans="1:48" ht="15" x14ac:dyDescent="0.2">
      <c r="A14" s="15" t="s">
        <v>29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>
        <v>5000</v>
      </c>
      <c r="M14" s="16"/>
      <c r="N14" s="16"/>
      <c r="O14" s="16"/>
      <c r="P14" s="16">
        <v>600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6"/>
      <c r="AH14" s="18"/>
      <c r="AI14" s="18"/>
      <c r="AJ14" s="19"/>
      <c r="AK14" s="19"/>
      <c r="AL14" s="7"/>
      <c r="AM14" s="6"/>
      <c r="AN14" s="25"/>
      <c r="AO14" s="26"/>
      <c r="AP14" s="27"/>
      <c r="AQ14" s="6"/>
      <c r="AR14" s="18"/>
      <c r="AS14" s="19"/>
      <c r="AT14" s="19"/>
      <c r="AU14" s="19"/>
      <c r="AV14" s="7"/>
    </row>
    <row r="15" spans="1:48" ht="15" x14ac:dyDescent="0.2">
      <c r="A15" s="15" t="s">
        <v>30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>
        <v>5000</v>
      </c>
      <c r="M15" s="16"/>
      <c r="N15" s="16"/>
      <c r="O15" s="16">
        <v>5000</v>
      </c>
      <c r="P15" s="16"/>
      <c r="Q15" s="16"/>
      <c r="R15" s="16"/>
      <c r="S15" s="16">
        <v>1000</v>
      </c>
      <c r="T15" s="16"/>
      <c r="U15" s="16"/>
      <c r="V15" s="16"/>
      <c r="W15" s="16">
        <v>5000</v>
      </c>
      <c r="X15" s="16"/>
      <c r="Y15" s="16"/>
      <c r="Z15" s="16">
        <v>2000</v>
      </c>
      <c r="AA15" s="16"/>
      <c r="AB15" s="16"/>
      <c r="AC15" s="16"/>
      <c r="AD15" s="16"/>
      <c r="AE15" s="16"/>
      <c r="AF15" s="16"/>
      <c r="AG15" s="6"/>
      <c r="AH15" s="18"/>
      <c r="AI15" s="18"/>
      <c r="AJ15" s="19"/>
      <c r="AK15" s="19"/>
      <c r="AL15" s="7"/>
      <c r="AM15" s="6"/>
      <c r="AN15" s="25"/>
      <c r="AO15" s="26"/>
      <c r="AP15" s="27"/>
      <c r="AQ15" s="6"/>
      <c r="AR15" s="18"/>
      <c r="AS15" s="19"/>
      <c r="AT15" s="19"/>
      <c r="AU15" s="19"/>
      <c r="AV15" s="7"/>
    </row>
    <row r="16" spans="1:48" ht="15" x14ac:dyDescent="0.2">
      <c r="A16" s="15" t="s">
        <v>31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>
        <v>10</v>
      </c>
      <c r="X16" s="16"/>
      <c r="Y16" s="16"/>
      <c r="Z16" s="16"/>
      <c r="AA16" s="16"/>
      <c r="AB16" s="16"/>
      <c r="AC16" s="16"/>
      <c r="AD16" s="16"/>
      <c r="AE16" s="16"/>
      <c r="AF16" s="16"/>
      <c r="AG16" s="6"/>
      <c r="AH16" s="18"/>
      <c r="AI16" s="18"/>
      <c r="AJ16" s="19"/>
      <c r="AK16" s="19"/>
      <c r="AL16" s="7"/>
      <c r="AM16" s="6"/>
      <c r="AN16" s="25"/>
      <c r="AO16" s="26"/>
      <c r="AP16" s="27"/>
      <c r="AQ16" s="6"/>
      <c r="AR16" s="18"/>
      <c r="AS16" s="19"/>
      <c r="AT16" s="19"/>
      <c r="AU16" s="19"/>
      <c r="AV16" s="7"/>
    </row>
    <row r="17" spans="1:48" ht="15" x14ac:dyDescent="0.2">
      <c r="A17" s="15" t="s">
        <v>32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>
        <v>2100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6"/>
      <c r="AH17" s="18"/>
      <c r="AI17" s="18"/>
      <c r="AJ17" s="19"/>
      <c r="AK17" s="19"/>
      <c r="AL17" s="7"/>
      <c r="AM17" s="6"/>
      <c r="AN17" s="25"/>
      <c r="AO17" s="26"/>
      <c r="AP17" s="27"/>
      <c r="AQ17" s="6"/>
      <c r="AR17" s="18"/>
      <c r="AS17" s="19"/>
      <c r="AT17" s="19"/>
      <c r="AU17" s="19"/>
      <c r="AV17" s="7"/>
    </row>
    <row r="18" spans="1:48" ht="15" x14ac:dyDescent="0.2">
      <c r="A18" s="15" t="s">
        <v>33</v>
      </c>
      <c r="B18" s="16"/>
      <c r="C18" s="16"/>
      <c r="D18" s="16"/>
      <c r="E18" s="16"/>
      <c r="F18" s="16"/>
      <c r="G18" s="16"/>
      <c r="H18" s="16"/>
      <c r="I18" s="16"/>
      <c r="J18" s="16"/>
      <c r="K18" s="16">
        <v>200</v>
      </c>
      <c r="L18" s="16">
        <v>200</v>
      </c>
      <c r="M18" s="16"/>
      <c r="N18" s="16">
        <v>200</v>
      </c>
      <c r="O18" s="16"/>
      <c r="P18" s="16">
        <v>800</v>
      </c>
      <c r="Q18" s="16">
        <v>200</v>
      </c>
      <c r="R18" s="16">
        <v>500</v>
      </c>
      <c r="S18" s="16"/>
      <c r="T18" s="16"/>
      <c r="U18" s="16">
        <v>300</v>
      </c>
      <c r="V18" s="16"/>
      <c r="W18" s="16"/>
      <c r="X18" s="16"/>
      <c r="Y18" s="16">
        <v>200</v>
      </c>
      <c r="Z18" s="16"/>
      <c r="AA18" s="16">
        <v>200</v>
      </c>
      <c r="AB18" s="16"/>
      <c r="AC18" s="16"/>
      <c r="AD18" s="16"/>
      <c r="AE18" s="16"/>
      <c r="AF18" s="16"/>
      <c r="AG18" s="6"/>
      <c r="AH18" s="18"/>
      <c r="AI18" s="18"/>
      <c r="AJ18" s="19"/>
      <c r="AK18" s="19"/>
      <c r="AL18" s="7"/>
      <c r="AM18" s="6"/>
      <c r="AN18" s="25"/>
      <c r="AO18" s="26"/>
      <c r="AP18" s="27"/>
      <c r="AQ18" s="6"/>
      <c r="AR18" s="18"/>
      <c r="AS18" s="19"/>
      <c r="AT18" s="19"/>
      <c r="AU18" s="19"/>
      <c r="AV18" s="7"/>
    </row>
    <row r="19" spans="1:48" ht="15" x14ac:dyDescent="0.2">
      <c r="A19" s="15" t="s">
        <v>34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>
        <v>11100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6"/>
      <c r="AH19" s="18"/>
      <c r="AI19" s="18"/>
      <c r="AJ19" s="19"/>
      <c r="AK19" s="19"/>
      <c r="AL19" s="7"/>
      <c r="AM19" s="6"/>
      <c r="AN19" s="25"/>
      <c r="AO19" s="26"/>
      <c r="AP19" s="27"/>
      <c r="AQ19" s="6"/>
      <c r="AR19" s="18"/>
      <c r="AS19" s="19"/>
      <c r="AT19" s="19"/>
      <c r="AU19" s="19"/>
      <c r="AV19" s="7"/>
    </row>
    <row r="20" spans="1:48" ht="15" x14ac:dyDescent="0.2">
      <c r="A20" s="15" t="s">
        <v>35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>
        <v>6000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6"/>
      <c r="AH20" s="18"/>
      <c r="AI20" s="18"/>
      <c r="AJ20" s="19"/>
      <c r="AK20" s="19"/>
      <c r="AL20" s="7"/>
      <c r="AM20" s="6"/>
      <c r="AN20" s="25"/>
      <c r="AO20" s="26"/>
      <c r="AP20" s="27"/>
      <c r="AQ20" s="6"/>
      <c r="AR20" s="18"/>
      <c r="AS20" s="19"/>
      <c r="AT20" s="19"/>
      <c r="AU20" s="19"/>
      <c r="AV20" s="7"/>
    </row>
    <row r="21" spans="1:48" ht="15" x14ac:dyDescent="0.2">
      <c r="A21" s="15" t="s">
        <v>36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>
        <v>20000</v>
      </c>
      <c r="T21" s="16"/>
      <c r="U21" s="16">
        <v>19000</v>
      </c>
      <c r="V21" s="16"/>
      <c r="W21" s="16"/>
      <c r="X21" s="16"/>
      <c r="Y21" s="16"/>
      <c r="Z21" s="16">
        <v>13000</v>
      </c>
      <c r="AA21" s="16"/>
      <c r="AB21" s="16"/>
      <c r="AC21" s="16"/>
      <c r="AD21" s="16"/>
      <c r="AE21" s="16"/>
      <c r="AF21" s="16"/>
      <c r="AG21" s="6"/>
      <c r="AH21" s="18"/>
      <c r="AI21" s="18"/>
      <c r="AJ21" s="19"/>
      <c r="AK21" s="19"/>
      <c r="AL21" s="7"/>
      <c r="AM21" s="6"/>
      <c r="AN21" s="25"/>
      <c r="AO21" s="26"/>
      <c r="AP21" s="27"/>
      <c r="AQ21" s="6"/>
      <c r="AR21" s="18"/>
      <c r="AS21" s="19"/>
      <c r="AT21" s="19"/>
      <c r="AU21" s="19"/>
      <c r="AV21" s="7"/>
    </row>
    <row r="22" spans="1:48" ht="15" x14ac:dyDescent="0.2">
      <c r="A22" s="15" t="s">
        <v>37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>
        <v>31000</v>
      </c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6"/>
      <c r="AH22" s="18"/>
      <c r="AI22" s="18"/>
      <c r="AJ22" s="19"/>
      <c r="AK22" s="19"/>
      <c r="AL22" s="7"/>
      <c r="AM22" s="6"/>
      <c r="AN22" s="25"/>
      <c r="AO22" s="26"/>
      <c r="AP22" s="27"/>
      <c r="AQ22" s="6"/>
      <c r="AR22" s="18"/>
      <c r="AS22" s="19"/>
      <c r="AT22" s="19"/>
      <c r="AU22" s="19"/>
      <c r="AV22" s="7"/>
    </row>
    <row r="23" spans="1:48" ht="15" x14ac:dyDescent="0.2">
      <c r="A23" s="15" t="s">
        <v>38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>
        <v>10000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6"/>
      <c r="AH23" s="18"/>
      <c r="AI23" s="18"/>
      <c r="AJ23" s="19"/>
      <c r="AK23" s="19"/>
      <c r="AL23" s="7"/>
      <c r="AM23" s="6"/>
      <c r="AN23" s="25"/>
      <c r="AO23" s="26"/>
      <c r="AP23" s="27"/>
      <c r="AQ23" s="6"/>
      <c r="AR23" s="18"/>
      <c r="AS23" s="19"/>
      <c r="AT23" s="19"/>
      <c r="AU23" s="19"/>
      <c r="AV23" s="7"/>
    </row>
    <row r="24" spans="1:48" ht="15" x14ac:dyDescent="0.2">
      <c r="A24" s="15" t="s">
        <v>39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>
        <v>1000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6"/>
      <c r="AH24" s="18"/>
      <c r="AI24" s="18"/>
      <c r="AJ24" s="19"/>
      <c r="AK24" s="19"/>
      <c r="AL24" s="7"/>
      <c r="AM24" s="6"/>
      <c r="AN24" s="25"/>
      <c r="AO24" s="26"/>
      <c r="AP24" s="27"/>
      <c r="AQ24" s="6"/>
      <c r="AR24" s="18"/>
      <c r="AS24" s="19"/>
      <c r="AT24" s="19"/>
      <c r="AU24" s="19"/>
      <c r="AV24" s="7"/>
    </row>
    <row r="25" spans="1:48" ht="15" x14ac:dyDescent="0.2">
      <c r="A25" s="15" t="s">
        <v>40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>
        <v>14000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6"/>
      <c r="AH25" s="18"/>
      <c r="AI25" s="18"/>
      <c r="AJ25" s="19"/>
      <c r="AK25" s="19"/>
      <c r="AL25" s="7"/>
      <c r="AM25" s="6"/>
      <c r="AN25" s="25"/>
      <c r="AO25" s="26"/>
      <c r="AP25" s="27"/>
      <c r="AQ25" s="6"/>
      <c r="AR25" s="18"/>
      <c r="AS25" s="19"/>
      <c r="AT25" s="19"/>
      <c r="AU25" s="19"/>
      <c r="AV25" s="7"/>
    </row>
    <row r="26" spans="1:48" ht="15" x14ac:dyDescent="0.2">
      <c r="A26" s="15" t="s">
        <v>41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>
        <v>8000</v>
      </c>
      <c r="R26" s="16"/>
      <c r="S26" s="16"/>
      <c r="T26" s="16"/>
      <c r="U26" s="16">
        <v>50000</v>
      </c>
      <c r="V26" s="16"/>
      <c r="W26" s="16">
        <v>10000</v>
      </c>
      <c r="X26" s="16">
        <v>30000</v>
      </c>
      <c r="Y26" s="16"/>
      <c r="Z26" s="16"/>
      <c r="AA26" s="16"/>
      <c r="AB26" s="16"/>
      <c r="AC26" s="16"/>
      <c r="AD26" s="16"/>
      <c r="AE26" s="16"/>
      <c r="AF26" s="16"/>
      <c r="AG26" s="6"/>
      <c r="AH26" s="18"/>
      <c r="AI26" s="18"/>
      <c r="AJ26" s="19"/>
      <c r="AK26" s="19"/>
      <c r="AL26" s="7"/>
      <c r="AM26" s="6"/>
      <c r="AN26" s="25"/>
      <c r="AO26" s="26"/>
      <c r="AP26" s="27"/>
      <c r="AQ26" s="6"/>
      <c r="AR26" s="18"/>
      <c r="AS26" s="19"/>
      <c r="AT26" s="19"/>
      <c r="AU26" s="19"/>
      <c r="AV26" s="7"/>
    </row>
    <row r="27" spans="1:48" ht="15" x14ac:dyDescent="0.2">
      <c r="A27" s="15" t="s">
        <v>42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>
        <v>20000</v>
      </c>
      <c r="S27" s="16"/>
      <c r="T27" s="16">
        <v>25000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6"/>
      <c r="AH27" s="18"/>
      <c r="AI27" s="18"/>
      <c r="AJ27" s="19"/>
      <c r="AK27" s="19"/>
      <c r="AL27" s="7"/>
      <c r="AM27" s="6"/>
      <c r="AN27" s="25"/>
      <c r="AO27" s="26"/>
      <c r="AP27" s="27"/>
      <c r="AQ27" s="6"/>
      <c r="AR27" s="18"/>
      <c r="AS27" s="19"/>
      <c r="AT27" s="19"/>
      <c r="AU27" s="19"/>
      <c r="AV27" s="7"/>
    </row>
    <row r="28" spans="1:48" ht="15" x14ac:dyDescent="0.2">
      <c r="A28" s="15" t="s">
        <v>43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>
        <v>78000</v>
      </c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6"/>
      <c r="AH28" s="18"/>
      <c r="AI28" s="18"/>
      <c r="AJ28" s="19"/>
      <c r="AK28" s="19"/>
      <c r="AL28" s="7"/>
      <c r="AM28" s="6"/>
      <c r="AN28" s="25"/>
      <c r="AO28" s="26"/>
      <c r="AP28" s="27"/>
      <c r="AQ28" s="6"/>
      <c r="AR28" s="18"/>
      <c r="AS28" s="19"/>
      <c r="AT28" s="19"/>
      <c r="AU28" s="19"/>
      <c r="AV28" s="7"/>
    </row>
    <row r="29" spans="1:48" ht="15" x14ac:dyDescent="0.2">
      <c r="A29" s="15" t="s">
        <v>44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>
        <v>3000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6"/>
      <c r="AH29" s="18"/>
      <c r="AI29" s="18"/>
      <c r="AJ29" s="19"/>
      <c r="AK29" s="19"/>
      <c r="AL29" s="7"/>
      <c r="AM29" s="6"/>
      <c r="AN29" s="25"/>
      <c r="AO29" s="26"/>
      <c r="AP29" s="27"/>
      <c r="AQ29" s="6"/>
      <c r="AR29" s="18"/>
      <c r="AS29" s="19"/>
      <c r="AT29" s="19"/>
      <c r="AU29" s="19"/>
      <c r="AV29" s="7"/>
    </row>
    <row r="30" spans="1:48" ht="15" x14ac:dyDescent="0.2">
      <c r="A30" s="15" t="s">
        <v>45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>
        <v>2000</v>
      </c>
      <c r="Y30" s="16">
        <v>3000</v>
      </c>
      <c r="Z30" s="16"/>
      <c r="AA30" s="16"/>
      <c r="AB30" s="16"/>
      <c r="AC30" s="16"/>
      <c r="AD30" s="16"/>
      <c r="AE30" s="16"/>
      <c r="AF30" s="16"/>
      <c r="AG30" s="6"/>
      <c r="AH30" s="18"/>
      <c r="AI30" s="18"/>
      <c r="AJ30" s="19"/>
      <c r="AK30" s="19"/>
      <c r="AL30" s="7"/>
      <c r="AM30" s="6"/>
      <c r="AN30" s="25"/>
      <c r="AO30" s="26"/>
      <c r="AP30" s="27"/>
      <c r="AQ30" s="6"/>
      <c r="AR30" s="18"/>
      <c r="AS30" s="19"/>
      <c r="AT30" s="19"/>
      <c r="AU30" s="19"/>
      <c r="AV30" s="7"/>
    </row>
    <row r="31" spans="1:48" ht="15" x14ac:dyDescent="0.2">
      <c r="A31" s="15" t="s">
        <v>46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>
        <v>37850</v>
      </c>
      <c r="Q31" s="16">
        <v>900</v>
      </c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6"/>
      <c r="AH31" s="18"/>
      <c r="AI31" s="18"/>
      <c r="AJ31" s="19"/>
      <c r="AK31" s="19"/>
      <c r="AL31" s="7"/>
      <c r="AM31" s="6"/>
      <c r="AN31" s="25"/>
      <c r="AO31" s="26"/>
      <c r="AP31" s="27"/>
      <c r="AQ31" s="6"/>
      <c r="AR31" s="18"/>
      <c r="AS31" s="19"/>
      <c r="AT31" s="19"/>
      <c r="AU31" s="19"/>
      <c r="AV31" s="7"/>
    </row>
    <row r="32" spans="1:48" ht="15" x14ac:dyDescent="0.2">
      <c r="A32" s="15" t="s">
        <v>47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>
        <v>29100</v>
      </c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6"/>
      <c r="AH32" s="18"/>
      <c r="AI32" s="18"/>
      <c r="AJ32" s="19"/>
      <c r="AK32" s="19"/>
      <c r="AL32" s="7"/>
      <c r="AM32" s="6"/>
      <c r="AN32" s="25"/>
      <c r="AO32" s="26"/>
      <c r="AP32" s="27"/>
      <c r="AQ32" s="6"/>
      <c r="AR32" s="18"/>
      <c r="AS32" s="19"/>
      <c r="AT32" s="19"/>
      <c r="AU32" s="19"/>
      <c r="AV32" s="7"/>
    </row>
    <row r="33" spans="1:48" ht="15" x14ac:dyDescent="0.2">
      <c r="A33" s="15" t="s">
        <v>48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>
        <v>2500</v>
      </c>
      <c r="AC33" s="16"/>
      <c r="AD33" s="16"/>
      <c r="AE33" s="16"/>
      <c r="AF33" s="16"/>
      <c r="AG33" s="6"/>
      <c r="AH33" s="18"/>
      <c r="AI33" s="18"/>
      <c r="AJ33" s="19"/>
      <c r="AK33" s="19"/>
      <c r="AL33" s="7"/>
      <c r="AM33" s="6"/>
      <c r="AN33" s="25"/>
      <c r="AO33" s="26"/>
      <c r="AP33" s="27"/>
      <c r="AQ33" s="6"/>
      <c r="AR33" s="18"/>
      <c r="AS33" s="19"/>
      <c r="AT33" s="19"/>
      <c r="AU33" s="19"/>
      <c r="AV33" s="7"/>
    </row>
    <row r="34" spans="1:48" ht="15" x14ac:dyDescent="0.2">
      <c r="A34" s="15" t="s">
        <v>49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>
        <v>1000</v>
      </c>
      <c r="AC34" s="16"/>
      <c r="AD34" s="16"/>
      <c r="AE34" s="16"/>
      <c r="AF34" s="16"/>
      <c r="AG34" s="6"/>
      <c r="AH34" s="18"/>
      <c r="AI34" s="18"/>
      <c r="AJ34" s="19"/>
      <c r="AK34" s="19"/>
      <c r="AL34" s="7"/>
      <c r="AM34" s="6"/>
      <c r="AN34" s="25"/>
      <c r="AO34" s="26"/>
      <c r="AP34" s="27"/>
      <c r="AQ34" s="6"/>
      <c r="AR34" s="18"/>
      <c r="AS34" s="19"/>
      <c r="AT34" s="19"/>
      <c r="AU34" s="19"/>
      <c r="AV34" s="7"/>
    </row>
    <row r="35" spans="1:48" ht="15" x14ac:dyDescent="0.2">
      <c r="A35" s="15" t="s">
        <v>50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>
        <v>1400</v>
      </c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6"/>
      <c r="AH35" s="18"/>
      <c r="AI35" s="18"/>
      <c r="AJ35" s="19"/>
      <c r="AK35" s="19"/>
      <c r="AL35" s="7"/>
      <c r="AM35" s="6"/>
      <c r="AN35" s="25"/>
      <c r="AO35" s="26"/>
      <c r="AP35" s="27"/>
      <c r="AQ35" s="6"/>
      <c r="AR35" s="18"/>
      <c r="AS35" s="19"/>
      <c r="AT35" s="19"/>
      <c r="AU35" s="19"/>
      <c r="AV35" s="7"/>
    </row>
    <row r="36" spans="1:48" ht="15" x14ac:dyDescent="0.2">
      <c r="A36" s="15" t="s">
        <v>51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>
        <v>8950</v>
      </c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6"/>
      <c r="AH36" s="18"/>
      <c r="AI36" s="18"/>
      <c r="AJ36" s="19"/>
      <c r="AK36" s="19"/>
      <c r="AL36" s="7"/>
      <c r="AM36" s="6"/>
      <c r="AN36" s="25"/>
      <c r="AO36" s="26"/>
      <c r="AP36" s="27"/>
      <c r="AQ36" s="6"/>
      <c r="AR36" s="18"/>
      <c r="AS36" s="19"/>
      <c r="AT36" s="19"/>
      <c r="AU36" s="19"/>
      <c r="AV36" s="7"/>
    </row>
    <row r="37" spans="1:48" ht="15" x14ac:dyDescent="0.2">
      <c r="A37" s="15" t="s">
        <v>52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>
        <v>5500</v>
      </c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6"/>
      <c r="AH37" s="18"/>
      <c r="AI37" s="18"/>
      <c r="AJ37" s="19"/>
      <c r="AK37" s="19"/>
      <c r="AL37" s="7"/>
      <c r="AM37" s="6"/>
      <c r="AN37" s="25"/>
      <c r="AO37" s="26"/>
      <c r="AP37" s="27"/>
      <c r="AQ37" s="6"/>
      <c r="AR37" s="18"/>
      <c r="AS37" s="19"/>
      <c r="AT37" s="19"/>
      <c r="AU37" s="19"/>
      <c r="AV37" s="7"/>
    </row>
    <row r="38" spans="1:48" ht="15" x14ac:dyDescent="0.2">
      <c r="A38" s="15" t="s">
        <v>53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>
        <v>500</v>
      </c>
      <c r="X38" s="16"/>
      <c r="Y38" s="16"/>
      <c r="Z38" s="16"/>
      <c r="AA38" s="16"/>
      <c r="AB38" s="16"/>
      <c r="AC38" s="16"/>
      <c r="AD38" s="16"/>
      <c r="AE38" s="16"/>
      <c r="AF38" s="16"/>
      <c r="AG38" s="6"/>
      <c r="AH38" s="18"/>
      <c r="AI38" s="18"/>
      <c r="AJ38" s="19"/>
      <c r="AK38" s="19"/>
      <c r="AL38" s="7"/>
      <c r="AM38" s="6"/>
      <c r="AN38" s="25"/>
      <c r="AO38" s="26"/>
      <c r="AP38" s="27"/>
      <c r="AQ38" s="6"/>
      <c r="AR38" s="18"/>
      <c r="AS38" s="19"/>
      <c r="AT38" s="19"/>
      <c r="AU38" s="19"/>
      <c r="AV38" s="7"/>
    </row>
    <row r="39" spans="1:48" ht="15" x14ac:dyDescent="0.2">
      <c r="A39" s="15" t="s">
        <v>54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>
        <v>5000</v>
      </c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6"/>
      <c r="AH39" s="18"/>
      <c r="AI39" s="18"/>
      <c r="AJ39" s="19"/>
      <c r="AK39" s="19"/>
      <c r="AL39" s="7"/>
      <c r="AM39" s="6"/>
      <c r="AN39" s="25"/>
      <c r="AO39" s="26"/>
      <c r="AP39" s="27"/>
      <c r="AQ39" s="6"/>
      <c r="AR39" s="18"/>
      <c r="AS39" s="19"/>
      <c r="AT39" s="19"/>
      <c r="AU39" s="19"/>
      <c r="AV39" s="7"/>
    </row>
    <row r="40" spans="1:48" ht="15" x14ac:dyDescent="0.2">
      <c r="A40" s="15" t="s">
        <v>55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>
        <v>20000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6"/>
      <c r="AH40" s="18"/>
      <c r="AI40" s="18"/>
      <c r="AJ40" s="19"/>
      <c r="AK40" s="19"/>
      <c r="AL40" s="7"/>
      <c r="AM40" s="6"/>
      <c r="AN40" s="25"/>
      <c r="AO40" s="26"/>
      <c r="AP40" s="27"/>
      <c r="AQ40" s="6"/>
      <c r="AR40" s="18"/>
      <c r="AS40" s="19"/>
      <c r="AT40" s="19"/>
      <c r="AU40" s="19"/>
      <c r="AV40" s="7"/>
    </row>
    <row r="41" spans="1:48" ht="15" x14ac:dyDescent="0.2">
      <c r="A41" s="15" t="s">
        <v>56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>
        <v>5000</v>
      </c>
      <c r="Z41" s="16"/>
      <c r="AA41" s="16"/>
      <c r="AB41" s="16"/>
      <c r="AC41" s="16"/>
      <c r="AD41" s="16"/>
      <c r="AE41" s="16"/>
      <c r="AF41" s="16"/>
      <c r="AG41" s="6"/>
      <c r="AH41" s="18"/>
      <c r="AI41" s="18"/>
      <c r="AJ41" s="19"/>
      <c r="AK41" s="19"/>
      <c r="AL41" s="7"/>
      <c r="AM41" s="6"/>
      <c r="AN41" s="25"/>
      <c r="AO41" s="26"/>
      <c r="AP41" s="27"/>
      <c r="AQ41" s="6"/>
      <c r="AR41" s="18"/>
      <c r="AS41" s="19"/>
      <c r="AT41" s="19"/>
      <c r="AU41" s="19"/>
      <c r="AV41" s="7"/>
    </row>
    <row r="42" spans="1:48" ht="15" x14ac:dyDescent="0.2">
      <c r="A42" s="15" t="s">
        <v>57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>
        <v>14000</v>
      </c>
      <c r="X42" s="16"/>
      <c r="Y42" s="16"/>
      <c r="Z42" s="16"/>
      <c r="AA42" s="16"/>
      <c r="AB42" s="16"/>
      <c r="AC42" s="16"/>
      <c r="AD42" s="16"/>
      <c r="AE42" s="16"/>
      <c r="AF42" s="16"/>
      <c r="AG42" s="6"/>
      <c r="AH42" s="18"/>
      <c r="AI42" s="18"/>
      <c r="AJ42" s="19"/>
      <c r="AK42" s="19"/>
      <c r="AL42" s="7"/>
      <c r="AM42" s="6"/>
      <c r="AN42" s="25"/>
      <c r="AO42" s="26"/>
      <c r="AP42" s="27"/>
      <c r="AQ42" s="6"/>
      <c r="AR42" s="18"/>
      <c r="AS42" s="19"/>
      <c r="AT42" s="19"/>
      <c r="AU42" s="19"/>
      <c r="AV42" s="7"/>
    </row>
    <row r="43" spans="1:48" ht="15" x14ac:dyDescent="0.2">
      <c r="A43" s="15" t="s">
        <v>58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>
        <v>4500</v>
      </c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6"/>
      <c r="AH43" s="18"/>
      <c r="AI43" s="18"/>
      <c r="AJ43" s="19"/>
      <c r="AK43" s="19"/>
      <c r="AL43" s="7"/>
      <c r="AM43" s="6"/>
      <c r="AN43" s="25"/>
      <c r="AO43" s="26"/>
      <c r="AP43" s="27"/>
      <c r="AQ43" s="6"/>
      <c r="AR43" s="18"/>
      <c r="AS43" s="19"/>
      <c r="AT43" s="19"/>
      <c r="AU43" s="19"/>
      <c r="AV43" s="7"/>
    </row>
    <row r="44" spans="1:48" ht="15" x14ac:dyDescent="0.2">
      <c r="A44" s="15" t="s">
        <v>59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>
        <v>500</v>
      </c>
      <c r="S44" s="16"/>
      <c r="T44" s="16"/>
      <c r="U44" s="16"/>
      <c r="V44" s="16"/>
      <c r="W44" s="16"/>
      <c r="X44" s="16"/>
      <c r="Y44" s="16"/>
      <c r="Z44" s="16"/>
      <c r="AA44" s="16"/>
      <c r="AB44" s="16">
        <v>200</v>
      </c>
      <c r="AC44" s="16"/>
      <c r="AD44" s="16"/>
      <c r="AE44" s="16"/>
      <c r="AF44" s="16"/>
      <c r="AG44" s="6"/>
      <c r="AH44" s="18"/>
      <c r="AI44" s="18"/>
      <c r="AJ44" s="19"/>
      <c r="AK44" s="19"/>
      <c r="AL44" s="7"/>
      <c r="AM44" s="6"/>
      <c r="AN44" s="25"/>
      <c r="AO44" s="26"/>
      <c r="AP44" s="27"/>
      <c r="AQ44" s="6"/>
      <c r="AR44" s="18"/>
      <c r="AS44" s="19"/>
      <c r="AT44" s="19"/>
      <c r="AU44" s="19"/>
      <c r="AV44" s="7"/>
    </row>
    <row r="45" spans="1:48" ht="15" x14ac:dyDescent="0.2">
      <c r="A45" s="15" t="s">
        <v>60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>
        <v>100</v>
      </c>
      <c r="O45" s="16">
        <v>200</v>
      </c>
      <c r="P45" s="16">
        <v>200</v>
      </c>
      <c r="Q45" s="16"/>
      <c r="R45" s="16"/>
      <c r="S45" s="16"/>
      <c r="T45" s="16">
        <v>550</v>
      </c>
      <c r="U45" s="16"/>
      <c r="V45" s="16">
        <v>2000</v>
      </c>
      <c r="W45" s="16">
        <v>15000</v>
      </c>
      <c r="X45" s="16"/>
      <c r="Y45" s="16"/>
      <c r="Z45" s="16"/>
      <c r="AA45" s="16"/>
      <c r="AB45" s="16">
        <v>600</v>
      </c>
      <c r="AC45" s="16">
        <v>250</v>
      </c>
      <c r="AD45" s="16"/>
      <c r="AE45" s="16"/>
      <c r="AF45" s="16"/>
      <c r="AG45" s="6"/>
      <c r="AH45" s="18"/>
      <c r="AI45" s="28"/>
      <c r="AJ45" s="19"/>
      <c r="AK45" s="19"/>
      <c r="AL45" s="7"/>
      <c r="AM45" s="6"/>
      <c r="AN45" s="25"/>
      <c r="AO45" s="26"/>
      <c r="AP45" s="27"/>
      <c r="AQ45" s="6"/>
      <c r="AR45" s="18"/>
      <c r="AS45" s="19"/>
      <c r="AT45" s="19"/>
      <c r="AU45" s="19"/>
      <c r="AV45" s="7"/>
    </row>
    <row r="46" spans="1:48" ht="21" x14ac:dyDescent="0.25">
      <c r="A46" s="29" t="s">
        <v>61</v>
      </c>
      <c r="B46" s="29">
        <f>SUM(B4:B45)</f>
        <v>0</v>
      </c>
      <c r="C46" s="29">
        <f t="shared" ref="C46:AF46" si="0">SUM(C4:C45)</f>
        <v>1800</v>
      </c>
      <c r="D46" s="29">
        <f t="shared" si="0"/>
        <v>24000</v>
      </c>
      <c r="E46" s="29">
        <f t="shared" si="0"/>
        <v>500</v>
      </c>
      <c r="F46" s="29">
        <f t="shared" si="0"/>
        <v>0</v>
      </c>
      <c r="G46" s="29">
        <f t="shared" si="0"/>
        <v>0</v>
      </c>
      <c r="H46" s="29">
        <f t="shared" si="0"/>
        <v>0</v>
      </c>
      <c r="I46" s="29">
        <f t="shared" si="0"/>
        <v>500</v>
      </c>
      <c r="J46" s="29">
        <f t="shared" si="0"/>
        <v>1000</v>
      </c>
      <c r="K46" s="29">
        <f>SUM(K4:K45)</f>
        <v>403200</v>
      </c>
      <c r="L46" s="29">
        <f t="shared" si="0"/>
        <v>54000</v>
      </c>
      <c r="M46" s="29">
        <f t="shared" si="0"/>
        <v>0</v>
      </c>
      <c r="N46" s="29">
        <f t="shared" si="0"/>
        <v>20000</v>
      </c>
      <c r="O46" s="29">
        <f t="shared" si="0"/>
        <v>5200</v>
      </c>
      <c r="P46" s="29">
        <f t="shared" si="0"/>
        <v>65650</v>
      </c>
      <c r="Q46" s="29">
        <f t="shared" si="0"/>
        <v>93250</v>
      </c>
      <c r="R46" s="29">
        <f t="shared" si="0"/>
        <v>22300</v>
      </c>
      <c r="S46" s="29">
        <f t="shared" si="0"/>
        <v>79300</v>
      </c>
      <c r="T46" s="29">
        <f t="shared" si="0"/>
        <v>76200</v>
      </c>
      <c r="U46" s="29">
        <f t="shared" si="0"/>
        <v>71600</v>
      </c>
      <c r="V46" s="29">
        <f t="shared" si="0"/>
        <v>16700</v>
      </c>
      <c r="W46" s="29">
        <f t="shared" si="0"/>
        <v>50110</v>
      </c>
      <c r="X46" s="29">
        <f t="shared" si="0"/>
        <v>36000</v>
      </c>
      <c r="Y46" s="29">
        <f t="shared" si="0"/>
        <v>10000</v>
      </c>
      <c r="Z46" s="29">
        <f t="shared" si="0"/>
        <v>15000</v>
      </c>
      <c r="AA46" s="29">
        <f t="shared" si="0"/>
        <v>5400</v>
      </c>
      <c r="AB46" s="29">
        <f t="shared" si="0"/>
        <v>11810</v>
      </c>
      <c r="AC46" s="29">
        <f t="shared" si="0"/>
        <v>16550</v>
      </c>
      <c r="AD46" s="29">
        <f t="shared" si="0"/>
        <v>0</v>
      </c>
      <c r="AE46" s="29">
        <f t="shared" si="0"/>
        <v>0</v>
      </c>
      <c r="AF46" s="29">
        <f t="shared" si="0"/>
        <v>550</v>
      </c>
      <c r="AG46" s="30"/>
      <c r="AH46" s="31" t="s">
        <v>62</v>
      </c>
      <c r="AI46" s="20"/>
      <c r="AJ46" s="29">
        <f>SUM(AJ4:AJ45)</f>
        <v>1245000</v>
      </c>
      <c r="AK46" s="20">
        <f>SUM(AK4:AK45)</f>
        <v>14000</v>
      </c>
      <c r="AL46" s="32">
        <f>SUM(AJ46,AK46)</f>
        <v>1259000</v>
      </c>
      <c r="AM46" s="30"/>
      <c r="AN46" s="33"/>
      <c r="AO46" s="34"/>
      <c r="AP46" s="35"/>
      <c r="AQ46" s="6"/>
      <c r="AR46" s="31" t="s">
        <v>63</v>
      </c>
      <c r="AS46" s="20">
        <f>SUM(AS4:AS45)</f>
        <v>2000</v>
      </c>
      <c r="AT46" s="20"/>
      <c r="AU46" s="20">
        <f>SUM(AU4:AU45)</f>
        <v>1000</v>
      </c>
      <c r="AV46" s="20">
        <f>AS46-AU46</f>
        <v>1000</v>
      </c>
    </row>
  </sheetData>
  <mergeCells count="10">
    <mergeCell ref="AR2:AV2"/>
    <mergeCell ref="AL4:AL45"/>
    <mergeCell ref="AV4:AV45"/>
    <mergeCell ref="AN5:AP46"/>
    <mergeCell ref="A2:AF2"/>
    <mergeCell ref="AG2:AG46"/>
    <mergeCell ref="AH2:AL2"/>
    <mergeCell ref="AM2:AM46"/>
    <mergeCell ref="AN2:AP2"/>
    <mergeCell ref="AQ2:AQ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Tijani</dc:creator>
  <cp:lastModifiedBy>Yusuf Tijani</cp:lastModifiedBy>
  <dcterms:created xsi:type="dcterms:W3CDTF">2026-01-31T10:52:01Z</dcterms:created>
  <dcterms:modified xsi:type="dcterms:W3CDTF">2026-01-31T10:52:46Z</dcterms:modified>
</cp:coreProperties>
</file>